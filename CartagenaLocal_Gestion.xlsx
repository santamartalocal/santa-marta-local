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EGO\Desktop\moweb\santa-marta\"/>
    </mc:Choice>
  </mc:AlternateContent>
  <bookViews>
    <workbookView xWindow="0" yWindow="0" windowWidth="19500" windowHeight="11970"/>
  </bookViews>
  <sheets>
    <sheet name="Resumen" sheetId="4" r:id="rId1"/>
    <sheet name="Ingresos" sheetId="3" r:id="rId2"/>
    <sheet name="Vencimientos" sheetId="2" r:id="rId3"/>
    <sheet name="Registro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4" l="1"/>
  <c r="B9" i="4"/>
  <c r="B8" i="4"/>
  <c r="B7" i="4"/>
  <c r="B6" i="4"/>
  <c r="B5" i="4"/>
  <c r="B4" i="4"/>
  <c r="B3" i="4"/>
</calcChain>
</file>

<file path=xl/sharedStrings.xml><?xml version="1.0" encoding="utf-8"?>
<sst xmlns="http://schemas.openxmlformats.org/spreadsheetml/2006/main" count="22" uniqueCount="20">
  <si>
    <t>REGISTRO DE LOCALES - es-CO.TextInfo.ToTitleCase(santa-marta.Replace('-',' '))</t>
  </si>
  <si>
    <t>PROXIMOS A VENCER</t>
  </si>
  <si>
    <t>Local</t>
  </si>
  <si>
    <t>Plan</t>
  </si>
  <si>
    <t>Vence</t>
  </si>
  <si>
    <t>Dias Rest.</t>
  </si>
  <si>
    <t>CONTROL DE INGRESOS</t>
  </si>
  <si>
    <t>Fecha</t>
  </si>
  <si>
    <t>Monto</t>
  </si>
  <si>
    <t>Metodo Pago</t>
  </si>
  <si>
    <t>Comprobante</t>
  </si>
  <si>
    <t>RESUMEN</t>
  </si>
  <si>
    <t>Locales Activos</t>
  </si>
  <si>
    <t>Locales Mes Gratis</t>
  </si>
  <si>
    <t>Locales Verificados</t>
  </si>
  <si>
    <t>Locales Destacados</t>
  </si>
  <si>
    <t>Locales Completos</t>
  </si>
  <si>
    <t>Vencidos</t>
  </si>
  <si>
    <t>Total Locales</t>
  </si>
  <si>
    <t>Total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</si>
</sst>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baseColWidth="10" defaultRowHeight="15" x14ac:dyDescent="0.25"/>
  <cols>
    <col min="1" max="1" width="25.7109375" customWidth="1"/>
    <col min="2" max="2" width="16.7109375" customWidth="1"/>
  </cols>
  <sheetData>
    <row r="1" spans="1:2" ht="18.75" x14ac:dyDescent="0.3">
      <c r="A1" s="2" t="s">
        <v>11</v>
      </c>
    </row>
    <row r="3" spans="1:2" x14ac:dyDescent="0.25">
      <c r="A3" s="1" t="s">
        <v>12</v>
      </c>
      <c r="B3" s="1">
        <f>COUNTIF(Registro!J:J,"Activo")</f>
        <v>0</v>
      </c>
    </row>
    <row r="4" spans="1:2" x14ac:dyDescent="0.25">
      <c r="A4" s="1" t="s">
        <v>13</v>
      </c>
      <c r="B4" s="1">
        <f>COUNTIF(Registro!J:J,"Mes Gratis")</f>
        <v>0</v>
      </c>
    </row>
    <row r="5" spans="1:2" x14ac:dyDescent="0.25">
      <c r="A5" s="1" t="s">
        <v>14</v>
      </c>
      <c r="B5" s="1">
        <f>COUNTIF(Registro!E:E,"Verificado")</f>
        <v>0</v>
      </c>
    </row>
    <row r="6" spans="1:2" x14ac:dyDescent="0.25">
      <c r="A6" s="1" t="s">
        <v>15</v>
      </c>
      <c r="B6" s="1">
        <f>COUNTIF(Registro!E:E,"Destacado")</f>
        <v>0</v>
      </c>
    </row>
    <row r="7" spans="1:2" x14ac:dyDescent="0.25">
      <c r="A7" s="1" t="s">
        <v>16</v>
      </c>
      <c r="B7" s="1">
        <f>COUNTIF(Registro!E:E,"Completo")</f>
        <v>0</v>
      </c>
    </row>
    <row r="8" spans="1:2" x14ac:dyDescent="0.25">
      <c r="A8" s="1" t="s">
        <v>17</v>
      </c>
      <c r="B8" s="1">
        <f>COUNTIF(Registro!J:J,"Vencido")</f>
        <v>0</v>
      </c>
    </row>
    <row r="9" spans="1:2" x14ac:dyDescent="0.25">
      <c r="A9" s="1" t="s">
        <v>18</v>
      </c>
      <c r="B9" s="1">
        <f>COUNTA(Registro!B:B)-1</f>
        <v>-1</v>
      </c>
    </row>
    <row r="10" spans="1:2" x14ac:dyDescent="0.25">
      <c r="A10" s="1" t="s">
        <v>19</v>
      </c>
      <c r="B10" s="1">
        <f>SUM(Ingresos!D:D)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baseColWidth="10" defaultRowHeight="15" x14ac:dyDescent="0.25"/>
  <cols>
    <col min="1" max="1" width="14.7109375" customWidth="1"/>
    <col min="2" max="2" width="28.7109375" customWidth="1"/>
    <col min="3" max="3" width="14.7109375" customWidth="1"/>
    <col min="4" max="4" width="12.7109375" customWidth="1"/>
    <col min="5" max="5" width="16.7109375" customWidth="1"/>
    <col min="6" max="6" width="14.7109375" customWidth="1"/>
  </cols>
  <sheetData>
    <row r="1" spans="1:6" x14ac:dyDescent="0.25">
      <c r="A1" s="1" t="s">
        <v>6</v>
      </c>
    </row>
    <row r="2" spans="1:6" x14ac:dyDescent="0.25">
      <c r="A2" s="1" t="s">
        <v>7</v>
      </c>
      <c r="B2" s="1" t="s">
        <v>2</v>
      </c>
      <c r="C2" s="1" t="s">
        <v>3</v>
      </c>
      <c r="D2" s="1" t="s">
        <v>8</v>
      </c>
      <c r="E2" s="1" t="s">
        <v>9</v>
      </c>
      <c r="F2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baseColWidth="10" defaultRowHeight="15" x14ac:dyDescent="0.25"/>
  <cols>
    <col min="1" max="1" width="28.7109375" customWidth="1"/>
    <col min="2" max="2" width="16.7109375" customWidth="1"/>
    <col min="3" max="4" width="14.7109375" customWidth="1"/>
  </cols>
  <sheetData>
    <row r="1" spans="1:4" x14ac:dyDescent="0.25">
      <c r="A1" s="1" t="s">
        <v>1</v>
      </c>
    </row>
    <row r="2" spans="1:4" x14ac:dyDescent="0.25">
      <c r="A2" s="1" t="s">
        <v>2</v>
      </c>
      <c r="B2" s="1" t="s">
        <v>3</v>
      </c>
      <c r="C2" s="1" t="s">
        <v>4</v>
      </c>
      <c r="D2" s="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Ingresos</vt:lpstr>
      <vt:lpstr>Vencimientos</vt:lpstr>
      <vt:lpstr>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2026-06-06T03:47:41Z</dcterms:created>
  <dcterms:modified xsi:type="dcterms:W3CDTF">2026-06-06T03:47:43Z</dcterms:modified>
</cp:coreProperties>
</file>